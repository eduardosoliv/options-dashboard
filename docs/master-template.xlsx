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d, yy"/>
    <numFmt numFmtId="166" formatCode="$#,##0.00"/>
    <numFmt numFmtId="167" formatCode="$#,##0"/>
    <numFmt numFmtId="168" formatCode="+$#,##0.00;-$#,##0.00"/>
    <numFmt numFmtId="169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5" customWidth="1" min="4" max="4"/>
    <col width="10" customWidth="1" min="5" max="5"/>
    <col width="8" customWidth="1" min="6" max="6"/>
    <col width="13" customWidth="1" min="7" max="7"/>
    <col width="10" customWidth="1" min="8" max="8"/>
    <col width="9" customWidth="1" min="9" max="9"/>
    <col width="10" customWidth="1" min="10" max="10"/>
    <col width="9" customWidth="1" min="11" max="11"/>
    <col width="13" customWidth="1" min="12" max="12"/>
    <col width="13" customWidth="1" min="13" max="13"/>
    <col width="9" customWidth="1" min="14" max="14"/>
    <col width="10" customWidth="1" min="15" max="15"/>
    <col width="11" customWidth="1" min="16" max="16"/>
    <col width="11" customWidth="1" min="17" max="17"/>
    <col width="10" customWidth="1" min="18" max="18"/>
    <col width="10" customWidth="1" min="19" max="19"/>
  </cols>
  <sheetData>
    <row r="1">
      <c r="A1" s="1" t="inlineStr">
        <is>
          <t>Acquired</t>
        </is>
      </c>
      <c r="B1" s="1" t="inlineStr">
        <is>
          <t>Expires</t>
        </is>
      </c>
      <c r="C1" s="1" t="inlineStr">
        <is>
          <t>Days</t>
        </is>
      </c>
      <c r="D1" s="1" t="inlineStr">
        <is>
          <t>Position</t>
        </is>
      </c>
      <c r="E1" s="1" t="inlineStr">
        <is>
          <t>Contracts</t>
        </is>
      </c>
      <c r="F1" s="1" t="inlineStr">
        <is>
          <t>Ticker</t>
        </is>
      </c>
      <c r="G1" s="1" t="inlineStr">
        <is>
          <t>Type</t>
        </is>
      </c>
      <c r="H1" s="1" t="inlineStr">
        <is>
          <t>Premium</t>
        </is>
      </c>
      <c r="I1" s="1" t="inlineStr">
        <is>
          <t>Strike</t>
        </is>
      </c>
      <c r="J1" s="1" t="inlineStr">
        <is>
          <t>Price</t>
        </is>
      </c>
      <c r="K1" s="1" t="inlineStr">
        <is>
          <t>Buffer</t>
        </is>
      </c>
      <c r="L1" s="1" t="inlineStr">
        <is>
          <t>Buffer Level</t>
        </is>
      </c>
      <c r="M1" s="1" t="inlineStr">
        <is>
          <t>Notional Risk</t>
        </is>
      </c>
      <c r="N1" s="1" t="inlineStr">
        <is>
          <t>Duration</t>
        </is>
      </c>
      <c r="O1" s="1" t="inlineStr">
        <is>
          <t>Est. Yield</t>
        </is>
      </c>
      <c r="P1" s="1" t="inlineStr">
        <is>
          <t>Closed On</t>
        </is>
      </c>
      <c r="Q1" s="1" t="inlineStr">
        <is>
          <t>Gain/Loss</t>
        </is>
      </c>
      <c r="R1" s="1" t="inlineStr">
        <is>
          <t>Capital</t>
        </is>
      </c>
      <c r="S1" s="1" t="inlineStr">
        <is>
          <t>Real Yield</t>
        </is>
      </c>
    </row>
    <row r="2">
      <c r="A2" s="2" t="n">
        <v>46169</v>
      </c>
      <c r="B2" s="2" t="n">
        <v>46255</v>
      </c>
      <c r="C2">
        <f>IF(DAYS($B2, TODAY())&lt;0,"CLOSED",DAYS($B2, TODAY()))</f>
        <v/>
      </c>
      <c r="D2" t="inlineStr">
        <is>
          <t>KKR 75 Put</t>
        </is>
      </c>
      <c r="E2" t="n">
        <v>2</v>
      </c>
      <c r="F2">
        <f>LEFT($D2,FIND(" ", $D2) - 1)</f>
        <v/>
      </c>
      <c r="G2" t="inlineStr">
        <is>
          <t>Short Put</t>
        </is>
      </c>
      <c r="H2" s="3" t="n">
        <v>268.65</v>
      </c>
      <c r="I2" s="4" t="n">
        <v>75</v>
      </c>
      <c r="J2" s="3">
        <f>IF(OR($C2="CLOSED", $C2="ASSIGNED", $C2="EXPIRED"),"",GOOGLEFINANCE($F2,"price"))</f>
        <v/>
      </c>
      <c r="K2" s="5">
        <f>IF($J2="","",IF($G2="Short Put",($J2-$I2)/$J2,($I2-$J2)/$J2))</f>
        <v/>
      </c>
      <c r="L2">
        <f>IF($K2="","",IF($K2&gt;0.2,"✅ Very Safe",IF($K2&gt;0.1,"🟢 Safe",IF($K2&gt;0.05, "⚠️ Alert",IF($K2&gt;0,"❗ Danger",IF($K2&gt;-0.05,"🔴 ITM", "🔴 Deep ITM"))))))</f>
        <v/>
      </c>
      <c r="M2" s="4">
        <f>IF(AND($G2="Short Put",$C2&lt;&gt;"CLOSED", $C2&lt;&gt;"ASSIGNED", $C2&lt;&gt;"EXPIRED"), $I2*E2*100,"")</f>
        <v/>
      </c>
      <c r="N2">
        <f>DAYS($B2, $A2)</f>
        <v/>
      </c>
      <c r="O2" s="6">
        <f>IF(AND($G2="Short Put",$H2&lt;&gt;""), $H2/$M2/$N2*365, "")</f>
        <v/>
      </c>
      <c r="P2" s="2" t="n"/>
      <c r="Q2" s="7" t="n"/>
      <c r="R2" s="4">
        <f>IF(AND($G2="Short Put", $Q2&lt;&gt;""), $I2*E2*100, "")</f>
        <v/>
      </c>
      <c r="S2" s="5">
        <f>IF(AND($G2="Short Put",$Q2&lt;&gt;"",$C2&lt;&gt;"ASSIGNED"), $Q2/$R2/(DAYS($P2, $A2))*365, "")</f>
        <v/>
      </c>
    </row>
    <row r="3">
      <c r="A3" s="2" t="n">
        <v>46184</v>
      </c>
      <c r="B3" s="2" t="n">
        <v>46234</v>
      </c>
      <c r="C3">
        <f>IF(DAYS($B3, TODAY())&lt;0,"CLOSED",DAYS($B3, TODAY()))</f>
        <v/>
      </c>
      <c r="D3" t="inlineStr">
        <is>
          <t>AMZN 280 Call</t>
        </is>
      </c>
      <c r="E3" t="n">
        <v>1</v>
      </c>
      <c r="F3">
        <f>LEFT($D3,FIND(" ", $D3) - 1)</f>
        <v/>
      </c>
      <c r="G3" t="inlineStr">
        <is>
          <t>Covered Call</t>
        </is>
      </c>
      <c r="H3" s="3" t="n">
        <v>224.33</v>
      </c>
      <c r="I3" s="4" t="n">
        <v>280</v>
      </c>
      <c r="J3" s="3">
        <f>IF(OR($C3="CLOSED", $C3="ASSIGNED", $C3="EXPIRED"),"",GOOGLEFINANCE($F3,"price"))</f>
        <v/>
      </c>
      <c r="K3" s="5">
        <f>IF($J3="","",IF($G3="Short Put",($J3-$I3)/$J3,($I3-$J3)/$J3))</f>
        <v/>
      </c>
      <c r="L3">
        <f>IF($K3="","",IF($K3&gt;0.2,"✅ Very Safe",IF($K3&gt;0.1,"🟢 Safe",IF($K3&gt;0.05, "⚠️ Alert",IF($K3&gt;0,"❗ Danger",IF($K3&gt;-0.05,"🔴 ITM", "🔴 Deep ITM"))))))</f>
        <v/>
      </c>
      <c r="M3" s="4">
        <f>IF(AND($G3="Short Put",$C3&lt;&gt;"CLOSED", $C3&lt;&gt;"ASSIGNED", $C3&lt;&gt;"EXPIRED"), $I3*E3*100,"")</f>
        <v/>
      </c>
      <c r="N3">
        <f>DAYS($B3, $A3)</f>
        <v/>
      </c>
      <c r="O3" s="6">
        <f>IF(AND($G3="Short Put",$H3&lt;&gt;""), $H3/$M3/$N3*365, "")</f>
        <v/>
      </c>
      <c r="P3" s="2" t="n"/>
      <c r="Q3" s="7" t="n"/>
      <c r="R3" s="4">
        <f>IF(AND($G3="Short Put", $Q3&lt;&gt;""), $I3*E3*100, "")</f>
        <v/>
      </c>
      <c r="S3" s="5">
        <f>IF(AND($G3="Short Put",$Q3&lt;&gt;"",$C3&lt;&gt;"ASSIGNED"), $Q3/$R3/(DAYS($P3, $A3))*365, "")</f>
        <v/>
      </c>
    </row>
    <row r="4">
      <c r="A4" s="2" t="n">
        <v>46007</v>
      </c>
      <c r="B4" s="2" t="n">
        <v>46038</v>
      </c>
      <c r="C4">
        <f>IF(DAYS($B4, TODAY())&lt;0,"CLOSED",DAYS($B4, TODAY()))</f>
        <v/>
      </c>
      <c r="D4" t="inlineStr">
        <is>
          <t>JPM 280 Put</t>
        </is>
      </c>
      <c r="E4" t="n">
        <v>2</v>
      </c>
      <c r="F4">
        <f>LEFT($D4,FIND(" ", $D4) - 1)</f>
        <v/>
      </c>
      <c r="G4" t="inlineStr">
        <is>
          <t>Short Put</t>
        </is>
      </c>
      <c r="H4" s="3" t="n"/>
      <c r="I4" s="4" t="n">
        <v>280</v>
      </c>
      <c r="J4" s="3">
        <f>IF(OR($C4="CLOSED", $C4="ASSIGNED", $C4="EXPIRED"),"",GOOGLEFINANCE($F4,"price"))</f>
        <v/>
      </c>
      <c r="K4" s="5">
        <f>IF($J4="","",IF($G4="Short Put",($J4-$I4)/$J4,($I4-$J4)/$J4))</f>
        <v/>
      </c>
      <c r="L4">
        <f>IF($K4="","",IF($K4&gt;0.2,"✅ Very Safe",IF($K4&gt;0.1,"🟢 Safe",IF($K4&gt;0.05, "⚠️ Alert",IF($K4&gt;0,"❗ Danger",IF($K4&gt;-0.05,"🔴 ITM", "🔴 Deep ITM"))))))</f>
        <v/>
      </c>
      <c r="M4" s="4">
        <f>IF(AND($G4="Short Put",$C4&lt;&gt;"CLOSED", $C4&lt;&gt;"ASSIGNED", $C4&lt;&gt;"EXPIRED"), $I4*E4*100,"")</f>
        <v/>
      </c>
      <c r="N4">
        <f>DAYS($B4, $A4)</f>
        <v/>
      </c>
      <c r="O4" s="6">
        <f>IF(AND($G4="Short Put",$H4&lt;&gt;""), $H4/$M4/$N4*365, "")</f>
        <v/>
      </c>
      <c r="P4" s="2" t="n">
        <v>46035</v>
      </c>
      <c r="Q4" s="7" t="n">
        <v>266.62</v>
      </c>
      <c r="R4" s="4">
        <f>IF(AND($G4="Short Put", $Q4&lt;&gt;""), $I4*E4*100, "")</f>
        <v/>
      </c>
      <c r="S4" s="5">
        <f>IF(AND($G4="Short Put",$Q4&lt;&gt;"",$C4&lt;&gt;"ASSIGNED"), $Q4/$R4/(DAYS($P4, $A4))*365, "")</f>
        <v/>
      </c>
    </row>
    <row r="5">
      <c r="A5" s="2" t="n">
        <v>46007</v>
      </c>
      <c r="B5" s="2" t="n">
        <v>46073</v>
      </c>
      <c r="C5">
        <f>IF(DAYS($B5, TODAY())&lt;0,"CLOSED",DAYS($B5, TODAY()))</f>
        <v/>
      </c>
      <c r="D5" t="inlineStr">
        <is>
          <t>GOOGL 365 Call</t>
        </is>
      </c>
      <c r="E5" t="n">
        <v>1</v>
      </c>
      <c r="F5">
        <f>LEFT($D5,FIND(" ", $D5) - 1)</f>
        <v/>
      </c>
      <c r="G5" t="inlineStr">
        <is>
          <t>Covered Call</t>
        </is>
      </c>
      <c r="H5" s="3" t="n"/>
      <c r="I5" s="4" t="n">
        <v>365</v>
      </c>
      <c r="J5" s="3">
        <f>IF(OR($C5="CLOSED", $C5="ASSIGNED", $C5="EXPIRED"),"",GOOGLEFINANCE($F5,"price"))</f>
        <v/>
      </c>
      <c r="K5" s="5">
        <f>IF($J5="","",IF($G5="Short Put",($J5-$I5)/$J5,($I5-$J5)/$J5))</f>
        <v/>
      </c>
      <c r="L5">
        <f>IF($K5="","",IF($K5&gt;0.2,"✅ Very Safe",IF($K5&gt;0.1,"🟢 Safe",IF($K5&gt;0.05, "⚠️ Alert",IF($K5&gt;0,"❗ Danger",IF($K5&gt;-0.05,"🔴 ITM", "🔴 Deep ITM"))))))</f>
        <v/>
      </c>
      <c r="M5" s="4">
        <f>IF(AND($G5="Short Put",$C5&lt;&gt;"CLOSED", $C5&lt;&gt;"ASSIGNED", $C5&lt;&gt;"EXPIRED"), $I5*E5*100,"")</f>
        <v/>
      </c>
      <c r="N5">
        <f>DAYS($B5, $A5)</f>
        <v/>
      </c>
      <c r="O5" s="6">
        <f>IF(AND($G5="Short Put",$H5&lt;&gt;""), $H5/$M5/$N5*365, "")</f>
        <v/>
      </c>
      <c r="P5" s="2" t="n">
        <v>46064</v>
      </c>
      <c r="Q5" s="7" t="n">
        <v>301.32</v>
      </c>
      <c r="R5" s="4">
        <f>IF(AND($G5="Short Put", $Q5&lt;&gt;""), $I5*E5*100, "")</f>
        <v/>
      </c>
      <c r="S5" s="5">
        <f>IF(AND($G5="Short Put",$Q5&lt;&gt;"",$C5&lt;&gt;"ASSIGNED"), $Q5/$R5/(DAYS($P5, $A5))*365, "")</f>
        <v/>
      </c>
    </row>
    <row r="6">
      <c r="A6" s="2" t="n">
        <v>45978</v>
      </c>
      <c r="B6" s="2" t="n">
        <v>46073</v>
      </c>
      <c r="C6" t="inlineStr">
        <is>
          <t>ASSIGNED</t>
        </is>
      </c>
      <c r="D6" t="inlineStr">
        <is>
          <t>MSFT 435 Put</t>
        </is>
      </c>
      <c r="E6" t="n">
        <v>1</v>
      </c>
      <c r="F6">
        <f>LEFT($D6,FIND(" ", $D6) - 1)</f>
        <v/>
      </c>
      <c r="G6" t="inlineStr">
        <is>
          <t>Short Put</t>
        </is>
      </c>
      <c r="H6" s="3" t="n"/>
      <c r="I6" s="4" t="n">
        <v>435</v>
      </c>
      <c r="J6" s="3">
        <f>IF(OR($C6="CLOSED", $C6="ASSIGNED", $C6="EXPIRED"),"",GOOGLEFINANCE($F6,"price"))</f>
        <v/>
      </c>
      <c r="K6" s="5">
        <f>IF($J6="","",IF($G6="Short Put",($J6-$I6)/$J6,($I6-$J6)/$J6))</f>
        <v/>
      </c>
      <c r="L6">
        <f>IF($K6="","",IF($K6&gt;0.2,"✅ Very Safe",IF($K6&gt;0.1,"🟢 Safe",IF($K6&gt;0.05, "⚠️ Alert",IF($K6&gt;0,"❗ Danger",IF($K6&gt;-0.05,"🔴 ITM", "🔴 Deep ITM"))))))</f>
        <v/>
      </c>
      <c r="M6" s="4">
        <f>IF(AND($G6="Short Put",$C6&lt;&gt;"CLOSED", $C6&lt;&gt;"ASSIGNED", $C6&lt;&gt;"EXPIRED"), $I6*E6*100,"")</f>
        <v/>
      </c>
      <c r="N6">
        <f>DAYS($B6, $A6)</f>
        <v/>
      </c>
      <c r="O6" s="6">
        <f>IF(AND($G6="Short Put",$H6&lt;&gt;""), $H6/$M6/$N6*365, "")</f>
        <v/>
      </c>
      <c r="P6" s="2" t="n">
        <v>46073</v>
      </c>
      <c r="Q6" s="7" t="n">
        <v>-3201.67</v>
      </c>
      <c r="R6" s="4">
        <f>IF(AND($G6="Short Put", $Q6&lt;&gt;""), $I6*E6*100, "")</f>
        <v/>
      </c>
      <c r="S6" s="5">
        <f>IF(AND($G6="Short Put",$Q6&lt;&gt;"",$C6&lt;&gt;"ASSIGNED"), $Q6/$R6/(DAYS($P6, $A6))*365, "")</f>
        <v/>
      </c>
    </row>
    <row r="7">
      <c r="A7" s="2" t="n">
        <v>46035</v>
      </c>
      <c r="B7" s="2" t="n">
        <v>46073</v>
      </c>
      <c r="C7" t="inlineStr">
        <is>
          <t>EXPIRED</t>
        </is>
      </c>
      <c r="D7" t="inlineStr">
        <is>
          <t>MRSH 165 Put</t>
        </is>
      </c>
      <c r="E7" t="n">
        <v>2</v>
      </c>
      <c r="F7">
        <f>LEFT($D7,FIND(" ", $D7) - 1)</f>
        <v/>
      </c>
      <c r="G7" t="inlineStr">
        <is>
          <t>Short Put</t>
        </is>
      </c>
      <c r="H7" s="3" t="n"/>
      <c r="I7" s="4" t="n">
        <v>165</v>
      </c>
      <c r="J7" s="3">
        <f>IF(OR($C7="CLOSED", $C7="ASSIGNED", $C7="EXPIRED"),"",GOOGLEFINANCE($F7,"price"))</f>
        <v/>
      </c>
      <c r="K7" s="5">
        <f>IF($J7="","",IF($G7="Short Put",($J7-$I7)/$J7,($I7-$J7)/$J7))</f>
        <v/>
      </c>
      <c r="L7">
        <f>IF($K7="","",IF($K7&gt;0.2,"✅ Very Safe",IF($K7&gt;0.1,"🟢 Safe",IF($K7&gt;0.05, "⚠️ Alert",IF($K7&gt;0,"❗ Danger",IF($K7&gt;-0.05,"🔴 ITM", "🔴 Deep ITM"))))))</f>
        <v/>
      </c>
      <c r="M7" s="4">
        <f>IF(AND($G7="Short Put",$C7&lt;&gt;"CLOSED", $C7&lt;&gt;"ASSIGNED", $C7&lt;&gt;"EXPIRED"), $I7*E7*100,"")</f>
        <v/>
      </c>
      <c r="N7">
        <f>DAYS($B7, $A7)</f>
        <v/>
      </c>
      <c r="O7" s="6">
        <f>IF(AND($G7="Short Put",$H7&lt;&gt;""), $H7/$M7/$N7*365, "")</f>
        <v/>
      </c>
      <c r="P7" s="2" t="n">
        <v>46073</v>
      </c>
      <c r="Q7" s="7" t="n">
        <v>238.65</v>
      </c>
      <c r="R7" s="4">
        <f>IF(AND($G7="Short Put", $Q7&lt;&gt;""), $I7*E7*100, "")</f>
        <v/>
      </c>
      <c r="S7" s="5">
        <f>IF(AND($G7="Short Put",$Q7&lt;&gt;"",$C7&lt;&gt;"ASSIGNED"), $Q7/$R7/(DAYS($P7, $A7))*365,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2026-07-24T02:10:23Z</dcterms:created>
  <dcterms:modified xsi:type="dcterms:W3CDTF">2026-07-24T02:10:23Z</dcterms:modified>
</cp:coreProperties>
</file>